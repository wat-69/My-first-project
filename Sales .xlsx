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up_Sales_20260625_1525" sheetId="1" r:id="rId5"/>
    <sheet state="visible" name="Users" sheetId="2" r:id="rId6"/>
    <sheet state="visible" name="Sales" sheetId="3" r:id="rId7"/>
    <sheet state="visible" name="Summary Product" sheetId="4" r:id="rId8"/>
    <sheet state="visible" name="Summary Employee" sheetId="5" r:id="rId9"/>
    <sheet state="visible" name="Summary Province" sheetId="6" r:id="rId10"/>
    <sheet state="visible" name="Summary Daily" sheetId="7" r:id="rId11"/>
    <sheet state="visible" name="Summary Monthly" sheetId="8" r:id="rId12"/>
    <sheet state="visible" name="Summary Yearly" sheetId="9" r:id="rId13"/>
    <sheet state="visible" name="Executive Dashboard" sheetId="10" r:id="rId14"/>
    <sheet state="visible" name="System Logs" sheetId="11" r:id="rId15"/>
    <sheet state="hidden" name="Backup_Sales_20260625_1526" sheetId="12" r:id="rId16"/>
    <sheet state="hidden" name="Backup_Sales_20260625_1528" sheetId="13" r:id="rId17"/>
    <sheet state="hidden" name="Backup_Sales_20260625_1543" sheetId="14" r:id="rId18"/>
    <sheet state="hidden" name="Backup_Sales_20260625_1545" sheetId="15" r:id="rId19"/>
    <sheet state="hidden" name="Backup_Sales_20260625_1549" sheetId="16" r:id="rId20"/>
    <sheet state="hidden" name="Backup_Sales_20260625_2055" sheetId="17" r:id="rId21"/>
    <sheet state="hidden" name="Backup_Sales_20260625_2104" sheetId="18" r:id="rId22"/>
    <sheet state="hidden" name="Backup_Sales_20260626_002854" sheetId="19" r:id="rId23"/>
    <sheet state="hidden" name="Backup_Sales_20260626_012025" sheetId="20" r:id="rId24"/>
    <sheet state="hidden" name="Backup_Sales_20260626_013354" sheetId="21" r:id="rId25"/>
    <sheet state="hidden" name="Backup_Sales_20260626_014717" sheetId="22" r:id="rId26"/>
    <sheet state="hidden" name="Backup_Sales_20260626_015033" sheetId="23" r:id="rId27"/>
    <sheet state="hidden" name="Backup_Sales_20260626_022657" sheetId="24" r:id="rId28"/>
    <sheet state="hidden" name="Backup_Sales_20260626_025814" sheetId="25" r:id="rId29"/>
    <sheet state="hidden" name="Backup_Sales_20260626_030215" sheetId="26" r:id="rId30"/>
    <sheet state="hidden" name="Backup_Sales_20260626_034958" sheetId="27" r:id="rId31"/>
    <sheet state="hidden" name="Backup_Sales_20260626_035315" sheetId="28" r:id="rId32"/>
    <sheet state="hidden" name="Backup_Sales_20260626_035359" sheetId="29" r:id="rId33"/>
    <sheet state="hidden" name="Backup_Sales_20260626_035608" sheetId="30" r:id="rId34"/>
    <sheet state="hidden" name="Backup_Sales_20260626_035806" sheetId="31" r:id="rId35"/>
    <sheet state="hidden" name="Backup_Sales_20260626_040107" sheetId="32" r:id="rId36"/>
    <sheet state="hidden" name="Backup_Sales_20260626_040227" sheetId="33" r:id="rId37"/>
    <sheet state="hidden" name="Backup_Sales_20260626_040303" sheetId="34" r:id="rId38"/>
    <sheet state="hidden" name="Backup_Sales_20260626_041129" sheetId="35" r:id="rId39"/>
    <sheet state="hidden" name="Backup_Sales_20260626_174910" sheetId="36" r:id="rId40"/>
    <sheet state="hidden" name="Backup_Sales_20260626_185933" sheetId="37" r:id="rId41"/>
    <sheet state="hidden" name="Backup_Sales_20260626_191137" sheetId="38" r:id="rId42"/>
    <sheet state="hidden" name="Backup_Sales_20260626_191407" sheetId="39" r:id="rId43"/>
    <sheet state="hidden" name="Backup_Sales_20260626_200259" sheetId="40" r:id="rId44"/>
    <sheet state="hidden" name="Backup_Sales_20260626_200532" sheetId="41" r:id="rId45"/>
    <sheet state="hidden" name="Backup_Sales_20260626_200733" sheetId="42" r:id="rId46"/>
    <sheet state="hidden" name="Backup_Sales_20260626_200805" sheetId="43" r:id="rId47"/>
    <sheet state="hidden" name="Backup_Sales_20260626_200903" sheetId="44" r:id="rId48"/>
    <sheet state="hidden" name="Backup_Sales_20260626_201106" sheetId="45" r:id="rId49"/>
    <sheet state="hidden" name="Backup_Sales_20260626_210006" sheetId="46" r:id="rId50"/>
    <sheet state="hidden" name="Backup_Sales_20260626_210053" sheetId="47" r:id="rId51"/>
    <sheet state="hidden" name="Backup_Sales_20260626_210131" sheetId="48" r:id="rId52"/>
  </sheets>
  <definedNames>
    <definedName hidden="1" localSheetId="3" name="_xlnm._FilterDatabase">'Summary Product'!$A$1:$D$6</definedName>
    <definedName hidden="1" localSheetId="4" name="_xlnm._FilterDatabase">'Summary Employee'!$A$1:$D$6</definedName>
    <definedName hidden="1" localSheetId="5" name="_xlnm._FilterDatabase">'Summary Province'!$A$1:$C$5</definedName>
    <definedName hidden="1" localSheetId="6" name="_xlnm._FilterDatabase">'Summary Daily'!$A$1:$C$2</definedName>
    <definedName hidden="1" localSheetId="7" name="_xlnm._FilterDatabase">'Summary Monthly'!$A$1:$C$2</definedName>
    <definedName hidden="1" localSheetId="8" name="_xlnm._FilterDatabase">'Summary Yearly'!$A$1:$C$2</definedName>
  </definedNames>
  <calcPr/>
</workbook>
</file>

<file path=xl/sharedStrings.xml><?xml version="1.0" encoding="utf-8"?>
<sst xmlns="http://schemas.openxmlformats.org/spreadsheetml/2006/main" count="2320" uniqueCount="148">
  <si>
    <t>Timestamp</t>
  </si>
  <si>
    <t>Employee ID</t>
  </si>
  <si>
    <t>Full Name</t>
  </si>
  <si>
    <t>Username Email</t>
  </si>
  <si>
    <t>Password Hash</t>
  </si>
  <si>
    <t>Status</t>
  </si>
  <si>
    <t>จำนวนครั้งขอรหัสใหม่</t>
  </si>
  <si>
    <t>Reset Code Hash</t>
  </si>
  <si>
    <t>Reset Code Expires At</t>
  </si>
  <si>
    <t>Last Reset Requested At</t>
  </si>
  <si>
    <t>Last Password Reset At</t>
  </si>
  <si>
    <t>EM-0001</t>
  </si>
  <si>
    <t>นายดี ใจ</t>
  </si>
  <si>
    <t>thowsakulpawat@gmail.com</t>
  </si>
  <si>
    <t>cc741b257f2c80a66fc4b8f9bf26b204c6758e313c425d2f61fafbb5e36bc81b</t>
  </si>
  <si>
    <t>ACTIVE</t>
  </si>
  <si>
    <t>EM-0002</t>
  </si>
  <si>
    <t>นางไอ มาก</t>
  </si>
  <si>
    <t>thowsakulpawat1@gmail.com</t>
  </si>
  <si>
    <t>92e1eec281a659ebcc16afddad8c9c12d810c982479ee2786f0c58016bb49d54</t>
  </si>
  <si>
    <t>EM-0003</t>
  </si>
  <si>
    <t>นางสาวนิ ดี</t>
  </si>
  <si>
    <t>pawatjobs@gmail.com</t>
  </si>
  <si>
    <t>de917c0ff2ff52bed9f73ca5f5a9807c1119947d16b2ca2e7e7af62d21b720fe</t>
  </si>
  <si>
    <t>EM-0004</t>
  </si>
  <si>
    <t>นายไอ ดี</t>
  </si>
  <si>
    <t>pawat52@gmail.com</t>
  </si>
  <si>
    <t>80d725d2d9450bf7b40179aa501339b6df816b398f12b4f398fe4607be428ab3</t>
  </si>
  <si>
    <t>EM-0005</t>
  </si>
  <si>
    <t>นายมง  เล็ก</t>
  </si>
  <si>
    <t>pawat5252@gmail.com</t>
  </si>
  <si>
    <t>76d0539f98f63dff30d9fe9d00cc49fcaf780f9fcc84a4a2ae60957ed40f0752</t>
  </si>
  <si>
    <t>วันที่บันทึก</t>
  </si>
  <si>
    <t>รหัสพนักงาน</t>
  </si>
  <si>
    <t>ชื่อ-นามสกุล</t>
  </si>
  <si>
    <t>จังหวัด</t>
  </si>
  <si>
    <t>อำเภอ</t>
  </si>
  <si>
    <t>เลขที่ Invoice</t>
  </si>
  <si>
    <t>วันที่ออกเอกสาร</t>
  </si>
  <si>
    <t>รหัสสินค้า</t>
  </si>
  <si>
    <t>ชื่อสินค้า</t>
  </si>
  <si>
    <t>จำนวนสินค้า</t>
  </si>
  <si>
    <t>ยอดขายรวม</t>
  </si>
  <si>
    <t>ส่วนลด</t>
  </si>
  <si>
    <t>ค่าขนส่ง</t>
  </si>
  <si>
    <t>ภาษีมูลค่าเพิ่ม</t>
  </si>
  <si>
    <t>ยอดสุทธิ</t>
  </si>
  <si>
    <t>หมายเหตุ</t>
  </si>
  <si>
    <t>เชียงใหม่</t>
  </si>
  <si>
    <t>เมืองเชียงใหม่</t>
  </si>
  <si>
    <t>No.Inv-26-0001</t>
  </si>
  <si>
    <t>PID-001-0001</t>
  </si>
  <si>
    <t>ปูน</t>
  </si>
  <si>
    <t>แม่ริม</t>
  </si>
  <si>
    <t>No.Inv-26-0002</t>
  </si>
  <si>
    <t>PID-001-0002</t>
  </si>
  <si>
    <t>กระเบื้องหลังคา</t>
  </si>
  <si>
    <t>แม่แตง</t>
  </si>
  <si>
    <t>No.Inv-26-0003</t>
  </si>
  <si>
    <t>PID-001-0003</t>
  </si>
  <si>
    <t>ทราย</t>
  </si>
  <si>
    <t>เชียงราย</t>
  </si>
  <si>
    <t>เมืองเชียงราย</t>
  </si>
  <si>
    <t>No.Inv-26-0004</t>
  </si>
  <si>
    <t>PID-001-0004</t>
  </si>
  <si>
    <t>สี</t>
  </si>
  <si>
    <t>แม่ฮ่องสอน</t>
  </si>
  <si>
    <t>ปาย</t>
  </si>
  <si>
    <t>No.Inv-26-0005</t>
  </si>
  <si>
    <t>PID-001-0005</t>
  </si>
  <si>
    <t>อิญมอญแดง</t>
  </si>
  <si>
    <t>น่าน</t>
  </si>
  <si>
    <t>เวียงสา</t>
  </si>
  <si>
    <t>No.Inv-26-0006</t>
  </si>
  <si>
    <t>เมืองน่าน</t>
  </si>
  <si>
    <t>No.Inv-26-0007</t>
  </si>
  <si>
    <t>เวียงป่าเป้า</t>
  </si>
  <si>
    <t>No.Inv-26-0008</t>
  </si>
  <si>
    <t>No.Inv-26-0009</t>
  </si>
  <si>
    <t>No.Inv-26-0010</t>
  </si>
  <si>
    <t>No.Inv-26-0011</t>
  </si>
  <si>
    <t>เมืองแม่ฮ่องสอน</t>
  </si>
  <si>
    <t>No.Inv-26-0012</t>
  </si>
  <si>
    <t>No.Inv-26-0013</t>
  </si>
  <si>
    <t>No.Inv-26-0014</t>
  </si>
  <si>
    <t>หางดง</t>
  </si>
  <si>
    <t>No.Inv-26-0015</t>
  </si>
  <si>
    <t>No.Inv-26-0016</t>
  </si>
  <si>
    <t>No.Inv-26-0017</t>
  </si>
  <si>
    <t>No.Inv-26-0018</t>
  </si>
  <si>
    <t>No.Inv-26-0019</t>
  </si>
  <si>
    <t>No.Inv-26-0020</t>
  </si>
  <si>
    <t>จำนวน</t>
  </si>
  <si>
    <t>จำนวนรายการ</t>
  </si>
  <si>
    <t>วันที่</t>
  </si>
  <si>
    <t>เดือน</t>
  </si>
  <si>
    <t>ปี</t>
  </si>
  <si>
    <t>EXECUTIVE SALES DASHBOARD</t>
  </si>
  <si>
    <t>อัปเดตล่าสุด: 26/06/2026 21:01:39</t>
  </si>
  <si>
    <t>🏆 KPI สำคัญ</t>
  </si>
  <si>
    <t>สินค้าขายดี #1</t>
  </si>
  <si>
    <t>พนักงานขายดี #1</t>
  </si>
  <si>
    <t>จังหวัดขายดี #1</t>
  </si>
  <si>
    <t>1 รายการ</t>
  </si>
  <si>
    <t>📊 สรุปยอดรวม</t>
  </si>
  <si>
    <t>ยอดขายรวมทั้งหมด</t>
  </si>
  <si>
    <t>จำนวนรายการทั้งหมด</t>
  </si>
  <si>
    <t>จำนวนสินค้าที่ขายได้</t>
  </si>
  <si>
    <t>📈 แนวโน้มยอดขายรายเดือน</t>
  </si>
  <si>
    <t>INFO</t>
  </si>
  <si>
    <t>--- เริ่มสร้างกราฟ LINE ---</t>
  </si>
  <si>
    <t>--- เริ่มเรียก AI วิเคราะห์แบบสั้นสำหรับ LINE ---</t>
  </si>
  <si>
    <t>AI generated successfully by GROQ for line</t>
  </si>
  <si>
    <t>--- กำลังสร้าง URL กราฟรูปภาพสำหรับ Email ---</t>
  </si>
  <si>
    <t>--- เริ่มเรียก AI วิเคราะห์แบบสั้นสำหรับ Email ---</t>
  </si>
  <si>
    <t>AI generated successfully by GROQ for email</t>
  </si>
  <si>
    <t>LINE notification sent successfully to: Cd06298c4ed9d1199d6abf2cfa730e490</t>
  </si>
  <si>
    <t>ERROR</t>
  </si>
  <si>
    <t>Email send failed: Service invoked too many times for one day: email.</t>
  </si>
  <si>
    <t>ส่งรายงานสำเร็จแล้ว</t>
  </si>
  <si>
    <t>runEnterpriseSalesDashboard Error: sendEmailReport is not defined</t>
  </si>
  <si>
    <t>EMAIL_QUOTA_EXCEEDED</t>
  </si>
  <si>
    <t>Email quota exceeded: Service invoked too many times for one day: email.</t>
  </si>
  <si>
    <t>Email sent successfully to: pawat52@gmail.com,thowsakulpawat1@gmail.com,pawatjobs@gmail.com,pawatadvisor@gmail.com</t>
  </si>
  <si>
    <t>Saved Invoice: No.Inv-26-0020</t>
  </si>
  <si>
    <t>ชื่อ - นามสกุล</t>
  </si>
  <si>
    <t>เลขที่ใบสั่งซื้อ</t>
  </si>
  <si>
    <t>วันที่ออกใบ Inv.</t>
  </si>
  <si>
    <t>ยอดขายรวม (ไม่รวม VAT+ ค่าขนส่ง)</t>
  </si>
  <si>
    <t>ยอดขายสุทธิ</t>
  </si>
  <si>
    <t>EM001</t>
  </si>
  <si>
    <t>นายดี มาแอะ</t>
  </si>
  <si>
    <t>No Inv.26-001-0001</t>
  </si>
  <si>
    <t>PID 001-0001</t>
  </si>
  <si>
    <t>นายดี มะแอะ</t>
  </si>
  <si>
    <t>No Inv.26-001-0002</t>
  </si>
  <si>
    <t>PID 001-0002</t>
  </si>
  <si>
    <t>นางนี</t>
  </si>
  <si>
    <t>กระเบื้อง</t>
  </si>
  <si>
    <t>นายดี ไว</t>
  </si>
  <si>
    <t>นางเอ ไวดี</t>
  </si>
  <si>
    <t>ปัว</t>
  </si>
  <si>
    <t>นางสาว เอ บี</t>
  </si>
  <si>
    <t>อิฐมอญแดง</t>
  </si>
  <si>
    <t>นายบี เจ</t>
  </si>
  <si>
    <t>เพชรบูรณ์</t>
  </si>
  <si>
    <t>หล่มสัก</t>
  </si>
  <si>
    <t>นางสาวบี ใจ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</si>
</sst>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yyyy-mm-dd"/>
    <numFmt numFmtId="166" formatCode="yyyy-mm"/>
    <numFmt numFmtId="167" formatCode="#,##0.00&quot;฿&quot;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22.0"/>
      <color rgb="FFFFFFFF"/>
      <name val="Arial"/>
      <scheme val="minor"/>
    </font>
    <font>
      <color rgb="FF757575"/>
      <name val="Arial"/>
      <scheme val="minor"/>
    </font>
    <font>
      <b/>
      <sz val="14.0"/>
      <color rgb="FF1A237E"/>
      <name val="Arial"/>
      <scheme val="minor"/>
    </font>
    <font>
      <color theme="5"/>
      <name val="Arial"/>
      <scheme val="minor"/>
    </font>
    <font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976D2"/>
        <bgColor rgb="FF1976D2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37474F"/>
        <bgColor rgb="FF37474F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1" fillId="2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167" xfId="0" applyAlignment="1" applyFont="1" applyNumberFormat="1">
      <alignment readingOrder="0"/>
    </xf>
    <xf borderId="0" fillId="4" fontId="1" numFmtId="0" xfId="0" applyFont="1"/>
    <xf borderId="0" fillId="5" fontId="2" numFmtId="0" xfId="0" applyFont="1"/>
    <xf borderId="0" fillId="4" fontId="6" numFmtId="0" xfId="0" applyAlignment="1" applyFont="1">
      <alignment readingOrder="0"/>
    </xf>
    <xf borderId="0" fillId="5" fontId="2" numFmtId="4" xfId="0" applyFont="1" applyNumberFormat="1"/>
    <xf borderId="0" fillId="2" fontId="3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6" fontId="3" numFmtId="164" xfId="0" applyAlignment="1" applyFill="1" applyFont="1" applyNumberFormat="1">
      <alignment readingOrder="0"/>
    </xf>
    <xf borderId="0" fillId="6" fontId="3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Product'!$A$1:$A$6</c:f>
            </c:strRef>
          </c:cat>
          <c:val>
            <c:numRef>
              <c:f>'Summary Product'!$B$1:$B$6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'Summary Product'!$A$1:$A$6</c:f>
            </c:strRef>
          </c:cat>
          <c:val>
            <c:numRef>
              <c:f>'Summary Product'!$C$1:$C$6</c:f>
              <c:numCache/>
            </c:numRef>
          </c:val>
        </c:ser>
        <c:ser>
          <c:idx val="2"/>
          <c:order val="2"/>
          <c:cat>
            <c:strRef>
              <c:f>'Summary Product'!$A$1:$A$6</c:f>
            </c:strRef>
          </c:cat>
          <c:val>
            <c:numRef>
              <c:f>'Summary Product'!$D$1:$D$6</c:f>
              <c:numCache/>
            </c:numRef>
          </c:val>
        </c:ser>
        <c:axId val="292372359"/>
        <c:axId val="2124570497"/>
      </c:barChart>
      <c:catAx>
        <c:axId val="292372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570497"/>
      </c:catAx>
      <c:valAx>
        <c:axId val="2124570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372359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Employees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'Summary Employee'!$A$1:$A$6</c:f>
            </c:strRef>
          </c:cat>
          <c:val>
            <c:numRef>
              <c:f>'Summary Employee'!$B$1:$B$6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'Summary Employee'!$A$1:$A$6</c:f>
            </c:strRef>
          </c:cat>
          <c:val>
            <c:numRef>
              <c:f>'Summary Employee'!$C$1:$C$6</c:f>
              <c:numCache/>
            </c:numRef>
          </c:val>
        </c:ser>
        <c:ser>
          <c:idx val="2"/>
          <c:order val="2"/>
          <c:cat>
            <c:strRef>
              <c:f>'Summary Employee'!$A$1:$A$6</c:f>
            </c:strRef>
          </c:cat>
          <c:val>
            <c:numRef>
              <c:f>'Summary Employee'!$D$1:$D$6</c:f>
              <c:numCache/>
            </c:numRef>
          </c:val>
        </c:ser>
        <c:axId val="1300514073"/>
        <c:axId val="1482260742"/>
      </c:barChart>
      <c:catAx>
        <c:axId val="13005140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260742"/>
      </c:catAx>
      <c:valAx>
        <c:axId val="14822607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514073"/>
        <c:crosses val="max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Trend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'Summary Monthly'!$A$1:$A$2</c:f>
            </c:strRef>
          </c:cat>
          <c:val>
            <c:numRef>
              <c:f>'Summary Monthly'!$B$1:$B$2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'Summary Monthly'!$A$1:$A$2</c:f>
            </c:strRef>
          </c:cat>
          <c:val>
            <c:numRef>
              <c:f>'Summary Monthly'!$C$1:$C$2</c:f>
              <c:numCache/>
            </c:numRef>
          </c:val>
          <c:smooth val="0"/>
        </c:ser>
        <c:axId val="395434923"/>
        <c:axId val="445456479"/>
      </c:lineChart>
      <c:catAx>
        <c:axId val="395434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456479"/>
      </c:catAx>
      <c:valAx>
        <c:axId val="445456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434923"/>
      </c:valAx>
    </c:plotArea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Province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'Summary Province'!$A$1:$A$5</c:f>
            </c:strRef>
          </c:cat>
          <c:val>
            <c:numRef>
              <c:f>'Summary Province'!$B$1:$B$5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3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0</xdr:colOff>
      <xdr:row>19</xdr:row>
      <xdr:rowOff>0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19</xdr:row>
      <xdr:rowOff>0</xdr:rowOff>
    </xdr:from>
    <xdr:ext cx="5715000" cy="3533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52.88"/>
    <col customWidth="1" min="8" max="8" width="5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46205.53222685185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1.0</v>
      </c>
      <c r="H2" s="3"/>
      <c r="I2" s="5"/>
      <c r="J2" s="5">
        <v>46205.591325381945</v>
      </c>
      <c r="K2" s="5">
        <v>46205.59184153935</v>
      </c>
    </row>
    <row r="3">
      <c r="A3" s="2">
        <v>46205.534026354166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15</v>
      </c>
    </row>
    <row r="4">
      <c r="A4" s="2">
        <v>46205.53457122685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15</v>
      </c>
    </row>
    <row r="5">
      <c r="A5" s="2">
        <v>46205.535411377314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15</v>
      </c>
      <c r="G5" s="4">
        <v>1.0</v>
      </c>
      <c r="H5" s="3"/>
      <c r="I5" s="5"/>
      <c r="J5" s="5">
        <v>46205.57173751158</v>
      </c>
      <c r="K5" s="5">
        <v>46205.57314260417</v>
      </c>
    </row>
    <row r="6">
      <c r="A6" s="2">
        <v>46205.53620376157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  <row r="12">
      <c r="A12" s="2">
        <v>46199.29166666667</v>
      </c>
      <c r="B12" s="3" t="s">
        <v>11</v>
      </c>
      <c r="C12" s="3" t="s">
        <v>12</v>
      </c>
      <c r="D12" s="3" t="s">
        <v>71</v>
      </c>
      <c r="E12" s="3" t="s">
        <v>72</v>
      </c>
      <c r="F12" s="3" t="s">
        <v>80</v>
      </c>
      <c r="G12" s="2">
        <v>46199.29166666667</v>
      </c>
      <c r="H12" s="3" t="s">
        <v>51</v>
      </c>
      <c r="I12" s="3" t="s">
        <v>52</v>
      </c>
      <c r="J12" s="4">
        <v>600.0</v>
      </c>
      <c r="K12" s="4">
        <v>30000.0</v>
      </c>
      <c r="L12" s="4">
        <v>0.0</v>
      </c>
      <c r="M12" s="4">
        <v>0.0</v>
      </c>
      <c r="N12" s="4">
        <v>2100.0</v>
      </c>
      <c r="O12" s="4">
        <v>32100.0</v>
      </c>
    </row>
    <row r="13">
      <c r="A13" s="2">
        <v>46199.29166666667</v>
      </c>
      <c r="B13" s="3" t="s">
        <v>28</v>
      </c>
      <c r="C13" s="3" t="s">
        <v>29</v>
      </c>
      <c r="D13" s="3" t="s">
        <v>66</v>
      </c>
      <c r="E13" s="3" t="s">
        <v>81</v>
      </c>
      <c r="F13" s="3" t="s">
        <v>82</v>
      </c>
      <c r="G13" s="2">
        <v>46199.29166666667</v>
      </c>
      <c r="H13" s="3" t="s">
        <v>59</v>
      </c>
      <c r="I13" s="3" t="s">
        <v>60</v>
      </c>
      <c r="J13" s="4">
        <v>500.0</v>
      </c>
      <c r="K13" s="4">
        <v>8000.0</v>
      </c>
      <c r="L13" s="4">
        <v>0.0</v>
      </c>
      <c r="M13" s="4">
        <v>250.0</v>
      </c>
      <c r="N13" s="4">
        <v>577.5</v>
      </c>
      <c r="O13" s="4">
        <v>8827.5</v>
      </c>
    </row>
    <row r="14">
      <c r="A14" s="2">
        <v>46200.29166666667</v>
      </c>
      <c r="B14" s="3" t="s">
        <v>11</v>
      </c>
      <c r="C14" s="3" t="s">
        <v>12</v>
      </c>
      <c r="D14" s="3" t="s">
        <v>66</v>
      </c>
      <c r="E14" s="3" t="s">
        <v>67</v>
      </c>
      <c r="F14" s="3" t="s">
        <v>83</v>
      </c>
      <c r="G14" s="2">
        <v>46200.29166666667</v>
      </c>
      <c r="H14" s="3" t="s">
        <v>51</v>
      </c>
      <c r="I14" s="3" t="s">
        <v>52</v>
      </c>
      <c r="J14" s="4">
        <v>500.0</v>
      </c>
      <c r="K14" s="4">
        <v>5000.0</v>
      </c>
      <c r="L14" s="4">
        <v>100.0</v>
      </c>
      <c r="M14" s="4">
        <v>500.0</v>
      </c>
      <c r="N14" s="4">
        <v>378.0</v>
      </c>
      <c r="O14" s="4">
        <v>5778.0</v>
      </c>
    </row>
    <row r="15">
      <c r="A15" s="2">
        <v>46200.29166666667</v>
      </c>
      <c r="B15" s="3" t="s">
        <v>20</v>
      </c>
      <c r="C15" s="3" t="s">
        <v>21</v>
      </c>
      <c r="D15" s="3" t="s">
        <v>48</v>
      </c>
      <c r="E15" s="3" t="s">
        <v>53</v>
      </c>
      <c r="F15" s="3" t="s">
        <v>84</v>
      </c>
      <c r="G15" s="2">
        <v>46200.29166666667</v>
      </c>
      <c r="H15" s="3" t="s">
        <v>55</v>
      </c>
      <c r="I15" s="3" t="s">
        <v>56</v>
      </c>
      <c r="J15" s="4">
        <v>500.0</v>
      </c>
      <c r="K15" s="4">
        <v>8000.0</v>
      </c>
      <c r="L15" s="4">
        <v>1250.0</v>
      </c>
      <c r="M15" s="4">
        <v>800.0</v>
      </c>
      <c r="N15" s="4">
        <v>528.5</v>
      </c>
      <c r="O15" s="4">
        <v>8078.5</v>
      </c>
    </row>
    <row r="16">
      <c r="A16" s="2">
        <v>46201.29166666667</v>
      </c>
      <c r="B16" s="3" t="s">
        <v>28</v>
      </c>
      <c r="C16" s="3" t="s">
        <v>29</v>
      </c>
      <c r="D16" s="3" t="s">
        <v>48</v>
      </c>
      <c r="E16" s="3" t="s">
        <v>85</v>
      </c>
      <c r="F16" s="3" t="s">
        <v>86</v>
      </c>
      <c r="G16" s="2">
        <v>46201.29166666667</v>
      </c>
      <c r="H16" s="3" t="s">
        <v>64</v>
      </c>
      <c r="I16" s="3" t="s">
        <v>65</v>
      </c>
      <c r="J16" s="4">
        <v>150.0</v>
      </c>
      <c r="K16" s="4">
        <v>30000.0</v>
      </c>
      <c r="L16" s="4">
        <v>0.0</v>
      </c>
      <c r="M16" s="4">
        <v>250.0</v>
      </c>
      <c r="N16" s="4">
        <v>2117.5</v>
      </c>
      <c r="O16" s="4">
        <v>32367.5</v>
      </c>
    </row>
    <row r="17">
      <c r="A17" s="2">
        <v>46203.29166666667</v>
      </c>
      <c r="B17" s="3" t="s">
        <v>20</v>
      </c>
      <c r="C17" s="3" t="s">
        <v>21</v>
      </c>
      <c r="D17" s="3" t="s">
        <v>48</v>
      </c>
      <c r="E17" s="3" t="s">
        <v>53</v>
      </c>
      <c r="F17" s="3" t="s">
        <v>87</v>
      </c>
      <c r="G17" s="2">
        <v>46203.29166666667</v>
      </c>
      <c r="H17" s="3" t="s">
        <v>59</v>
      </c>
      <c r="I17" s="3" t="s">
        <v>60</v>
      </c>
      <c r="J17" s="4">
        <v>5000.0</v>
      </c>
      <c r="K17" s="4">
        <v>100000.0</v>
      </c>
      <c r="L17" s="4">
        <v>1000.0</v>
      </c>
      <c r="M17" s="4">
        <v>500.0</v>
      </c>
      <c r="N17" s="4">
        <v>6965.0</v>
      </c>
      <c r="O17" s="4">
        <v>106465.0</v>
      </c>
    </row>
    <row r="18">
      <c r="A18" s="2">
        <v>46203.29166666667</v>
      </c>
      <c r="B18" s="3" t="s">
        <v>24</v>
      </c>
      <c r="C18" s="3" t="s">
        <v>25</v>
      </c>
      <c r="D18" s="3" t="s">
        <v>71</v>
      </c>
      <c r="E18" s="3" t="s">
        <v>72</v>
      </c>
      <c r="F18" s="3" t="s">
        <v>88</v>
      </c>
      <c r="G18" s="2">
        <v>46203.29166666667</v>
      </c>
      <c r="H18" s="3" t="s">
        <v>51</v>
      </c>
      <c r="I18" s="3" t="s">
        <v>52</v>
      </c>
      <c r="J18" s="4">
        <v>500.0</v>
      </c>
      <c r="K18" s="4">
        <v>8000.0</v>
      </c>
      <c r="L18" s="4">
        <v>1000.0</v>
      </c>
      <c r="M18" s="4">
        <v>500.0</v>
      </c>
      <c r="N18" s="4">
        <v>525.0</v>
      </c>
      <c r="O18" s="4">
        <v>8025.0</v>
      </c>
    </row>
    <row r="19">
      <c r="A19" s="2">
        <v>46203.29166666667</v>
      </c>
      <c r="B19" s="3" t="s">
        <v>20</v>
      </c>
      <c r="C19" s="3" t="s">
        <v>21</v>
      </c>
      <c r="D19" s="3" t="s">
        <v>61</v>
      </c>
      <c r="E19" s="3" t="s">
        <v>76</v>
      </c>
      <c r="F19" s="3" t="s">
        <v>89</v>
      </c>
      <c r="G19" s="2">
        <v>46203.29166666667</v>
      </c>
      <c r="H19" s="3" t="s">
        <v>55</v>
      </c>
      <c r="I19" s="3" t="s">
        <v>56</v>
      </c>
      <c r="J19" s="4">
        <v>400.0</v>
      </c>
      <c r="K19" s="4">
        <v>30000.0</v>
      </c>
      <c r="L19" s="4">
        <v>1500.0</v>
      </c>
      <c r="M19" s="4">
        <v>1000.0</v>
      </c>
      <c r="N19" s="4">
        <v>2065.0</v>
      </c>
      <c r="O19" s="4">
        <v>31565.0</v>
      </c>
    </row>
    <row r="20">
      <c r="A20" s="2">
        <v>46204.29166666667</v>
      </c>
      <c r="B20" s="3" t="s">
        <v>16</v>
      </c>
      <c r="C20" s="3" t="s">
        <v>17</v>
      </c>
      <c r="D20" s="3" t="s">
        <v>61</v>
      </c>
      <c r="E20" s="3" t="s">
        <v>62</v>
      </c>
      <c r="F20" s="3" t="s">
        <v>90</v>
      </c>
      <c r="G20" s="2">
        <v>46204.29166666667</v>
      </c>
      <c r="H20" s="3" t="s">
        <v>69</v>
      </c>
      <c r="I20" s="3" t="s">
        <v>70</v>
      </c>
      <c r="J20" s="4">
        <v>1000.0</v>
      </c>
      <c r="K20" s="4">
        <v>5000.0</v>
      </c>
      <c r="L20" s="4">
        <v>0.0</v>
      </c>
      <c r="M20" s="4">
        <v>500.0</v>
      </c>
      <c r="N20" s="4">
        <v>385.0</v>
      </c>
      <c r="O20" s="4">
        <v>5885.0</v>
      </c>
    </row>
    <row r="21">
      <c r="A21" s="2">
        <v>46205.29166666667</v>
      </c>
      <c r="B21" s="3" t="s">
        <v>28</v>
      </c>
      <c r="C21" s="3" t="s">
        <v>29</v>
      </c>
      <c r="D21" s="3" t="s">
        <v>66</v>
      </c>
      <c r="E21" s="3" t="s">
        <v>67</v>
      </c>
      <c r="F21" s="3" t="s">
        <v>91</v>
      </c>
      <c r="G21" s="2">
        <v>46205.29166666667</v>
      </c>
      <c r="H21" s="3" t="s">
        <v>59</v>
      </c>
      <c r="I21" s="3" t="s">
        <v>60</v>
      </c>
      <c r="J21" s="4">
        <v>100.0</v>
      </c>
      <c r="K21" s="4">
        <v>25000.0</v>
      </c>
      <c r="L21" s="4">
        <v>1000.0</v>
      </c>
      <c r="M21" s="4">
        <v>1000.0</v>
      </c>
      <c r="N21" s="4">
        <v>1750.0</v>
      </c>
      <c r="O21" s="4">
        <v>26750.0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1.75"/>
    <col customWidth="1" min="3" max="3" width="8.13"/>
    <col customWidth="1" min="4" max="4" width="9.88"/>
  </cols>
  <sheetData>
    <row r="1">
      <c r="A1" s="7" t="s">
        <v>39</v>
      </c>
      <c r="B1" s="7" t="s">
        <v>40</v>
      </c>
      <c r="C1" s="7" t="s">
        <v>92</v>
      </c>
      <c r="D1" s="7" t="s">
        <v>42</v>
      </c>
    </row>
    <row r="2">
      <c r="A2" s="8" t="s">
        <v>51</v>
      </c>
      <c r="B2" s="8" t="s">
        <v>52</v>
      </c>
      <c r="C2" s="9">
        <v>2400.0</v>
      </c>
      <c r="D2" s="9">
        <v>175000.0</v>
      </c>
    </row>
    <row r="3">
      <c r="A3" s="8" t="s">
        <v>69</v>
      </c>
      <c r="B3" s="8" t="s">
        <v>70</v>
      </c>
      <c r="C3" s="9">
        <v>50500.0</v>
      </c>
      <c r="D3" s="9">
        <v>158000.0</v>
      </c>
    </row>
    <row r="4">
      <c r="A4" s="8" t="s">
        <v>55</v>
      </c>
      <c r="B4" s="8" t="s">
        <v>56</v>
      </c>
      <c r="C4" s="9">
        <v>700.0</v>
      </c>
      <c r="D4" s="9">
        <v>68000.0</v>
      </c>
    </row>
    <row r="5">
      <c r="A5" s="8" t="s">
        <v>64</v>
      </c>
      <c r="B5" s="8" t="s">
        <v>65</v>
      </c>
      <c r="C5" s="9">
        <v>200.0</v>
      </c>
      <c r="D5" s="9">
        <v>23000.0</v>
      </c>
    </row>
    <row r="6">
      <c r="A6" s="8" t="s">
        <v>59</v>
      </c>
      <c r="B6" s="8" t="s">
        <v>60</v>
      </c>
      <c r="C6" s="9">
        <v>1000.0</v>
      </c>
      <c r="D6" s="9">
        <v>15000.0</v>
      </c>
    </row>
  </sheetData>
  <autoFilter ref="$A$1:$D$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2.0"/>
    <col customWidth="1" min="3" max="3" width="12.13"/>
    <col customWidth="1" min="4" max="4" width="9.88"/>
  </cols>
  <sheetData>
    <row r="1">
      <c r="A1" s="7" t="s">
        <v>33</v>
      </c>
      <c r="B1" s="7" t="s">
        <v>34</v>
      </c>
      <c r="C1" s="7" t="s">
        <v>93</v>
      </c>
      <c r="D1" s="7" t="s">
        <v>42</v>
      </c>
    </row>
    <row r="2">
      <c r="A2" s="8" t="s">
        <v>20</v>
      </c>
      <c r="B2" s="8" t="s">
        <v>21</v>
      </c>
      <c r="C2" s="9">
        <v>3.0</v>
      </c>
      <c r="D2" s="9">
        <v>255000.0</v>
      </c>
    </row>
    <row r="3">
      <c r="A3" s="8" t="s">
        <v>11</v>
      </c>
      <c r="B3" s="8" t="s">
        <v>12</v>
      </c>
      <c r="C3" s="9">
        <v>4.0</v>
      </c>
      <c r="D3" s="9">
        <v>145000.0</v>
      </c>
    </row>
    <row r="4">
      <c r="A4" s="8" t="s">
        <v>16</v>
      </c>
      <c r="B4" s="8" t="s">
        <v>17</v>
      </c>
      <c r="C4" s="9">
        <v>2.0</v>
      </c>
      <c r="D4" s="9">
        <v>23000.0</v>
      </c>
    </row>
    <row r="5">
      <c r="A5" s="8" t="s">
        <v>24</v>
      </c>
      <c r="B5" s="8" t="s">
        <v>25</v>
      </c>
      <c r="C5" s="9">
        <v>1.0</v>
      </c>
      <c r="D5" s="9">
        <v>8000.0</v>
      </c>
    </row>
    <row r="6">
      <c r="A6" s="8" t="s">
        <v>28</v>
      </c>
      <c r="B6" s="8" t="s">
        <v>29</v>
      </c>
      <c r="C6" s="9">
        <v>1.0</v>
      </c>
      <c r="D6" s="9">
        <v>8000.0</v>
      </c>
    </row>
  </sheetData>
  <autoFilter ref="$A$1:$D$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2.13"/>
    <col customWidth="1" min="3" max="3" width="9.88"/>
  </cols>
  <sheetData>
    <row r="1">
      <c r="A1" s="7" t="s">
        <v>35</v>
      </c>
      <c r="B1" s="7" t="s">
        <v>93</v>
      </c>
      <c r="C1" s="7" t="s">
        <v>42</v>
      </c>
    </row>
    <row r="2">
      <c r="A2" s="8" t="s">
        <v>66</v>
      </c>
      <c r="B2" s="9">
        <v>1.0</v>
      </c>
      <c r="C2" s="9">
        <v>150000.0</v>
      </c>
    </row>
    <row r="3">
      <c r="A3" s="8" t="s">
        <v>48</v>
      </c>
      <c r="B3" s="9">
        <v>4.0</v>
      </c>
      <c r="C3" s="9">
        <v>123000.0</v>
      </c>
    </row>
    <row r="4">
      <c r="A4" s="8" t="s">
        <v>61</v>
      </c>
      <c r="B4" s="9">
        <v>3.0</v>
      </c>
      <c r="C4" s="9">
        <v>113000.0</v>
      </c>
    </row>
    <row r="5">
      <c r="A5" s="8" t="s">
        <v>71</v>
      </c>
      <c r="B5" s="9">
        <v>3.0</v>
      </c>
      <c r="C5" s="9">
        <v>53000.0</v>
      </c>
    </row>
  </sheetData>
  <autoFilter ref="$A$1:$C$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2.13"/>
    <col customWidth="1" min="3" max="3" width="9.88"/>
  </cols>
  <sheetData>
    <row r="1">
      <c r="A1" s="7" t="s">
        <v>94</v>
      </c>
      <c r="B1" s="7" t="s">
        <v>93</v>
      </c>
      <c r="C1" s="7" t="s">
        <v>42</v>
      </c>
    </row>
    <row r="2">
      <c r="A2" s="10">
        <v>46199.0</v>
      </c>
      <c r="B2" s="9">
        <v>11.0</v>
      </c>
      <c r="C2" s="9">
        <v>439000.0</v>
      </c>
    </row>
  </sheetData>
  <autoFilter ref="$A$1:$C$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2.13"/>
    <col customWidth="1" min="3" max="3" width="9.88"/>
  </cols>
  <sheetData>
    <row r="1">
      <c r="A1" s="7" t="s">
        <v>95</v>
      </c>
      <c r="B1" s="7" t="s">
        <v>93</v>
      </c>
      <c r="C1" s="7" t="s">
        <v>42</v>
      </c>
    </row>
    <row r="2">
      <c r="A2" s="11">
        <v>46174.0</v>
      </c>
      <c r="B2" s="9">
        <v>11.0</v>
      </c>
      <c r="C2" s="9">
        <v>439000.0</v>
      </c>
    </row>
  </sheetData>
  <autoFilter ref="$A$1:$C$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2.13"/>
    <col customWidth="1" min="3" max="3" width="9.88"/>
  </cols>
  <sheetData>
    <row r="1">
      <c r="A1" s="7" t="s">
        <v>96</v>
      </c>
      <c r="B1" s="7" t="s">
        <v>93</v>
      </c>
      <c r="C1" s="7" t="s">
        <v>42</v>
      </c>
    </row>
    <row r="2">
      <c r="A2" s="8">
        <v>2026.0</v>
      </c>
      <c r="B2" s="9">
        <v>11.0</v>
      </c>
      <c r="C2" s="9">
        <v>439000.0</v>
      </c>
    </row>
  </sheetData>
  <autoFilter ref="$A$1:$C$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8E5"/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10.75"/>
    <col customWidth="1" min="3" max="3" width="9.0"/>
    <col customWidth="1" min="4" max="4" width="9.75"/>
  </cols>
  <sheetData>
    <row r="1">
      <c r="A1" s="12" t="s">
        <v>97</v>
      </c>
    </row>
    <row r="2">
      <c r="A2" s="13" t="s">
        <v>98</v>
      </c>
    </row>
    <row r="4">
      <c r="A4" s="14" t="s">
        <v>99</v>
      </c>
    </row>
    <row r="5">
      <c r="A5" s="15" t="s">
        <v>100</v>
      </c>
      <c r="B5" s="16" t="s">
        <v>51</v>
      </c>
      <c r="C5" s="16" t="s">
        <v>52</v>
      </c>
      <c r="D5" s="17">
        <v>175000.0</v>
      </c>
    </row>
    <row r="6">
      <c r="A6" s="15" t="s">
        <v>101</v>
      </c>
      <c r="B6" s="16" t="s">
        <v>20</v>
      </c>
      <c r="C6" s="16" t="s">
        <v>21</v>
      </c>
      <c r="D6" s="17">
        <v>255000.0</v>
      </c>
    </row>
    <row r="7">
      <c r="A7" s="15" t="s">
        <v>102</v>
      </c>
      <c r="B7" s="16" t="s">
        <v>66</v>
      </c>
      <c r="C7" s="16" t="s">
        <v>103</v>
      </c>
      <c r="D7" s="17">
        <v>150000.0</v>
      </c>
    </row>
    <row r="8">
      <c r="A8" s="18"/>
      <c r="B8" s="19"/>
      <c r="C8" s="19"/>
      <c r="D8" s="19"/>
    </row>
    <row r="9">
      <c r="A9" s="20" t="s">
        <v>104</v>
      </c>
      <c r="B9" s="19"/>
      <c r="C9" s="19"/>
      <c r="D9" s="19"/>
    </row>
    <row r="10">
      <c r="A10" s="15" t="s">
        <v>105</v>
      </c>
      <c r="B10" s="19"/>
      <c r="C10" s="19"/>
      <c r="D10" s="21">
        <f>SUM('Summary Product'!D2:D1000)</f>
        <v>439000</v>
      </c>
    </row>
    <row r="11">
      <c r="A11" s="15" t="s">
        <v>106</v>
      </c>
      <c r="B11" s="19"/>
      <c r="C11" s="19"/>
      <c r="D11" s="21">
        <f>SUM('Summary Product'!C2:C1000)</f>
        <v>54800</v>
      </c>
    </row>
    <row r="12">
      <c r="A12" s="15" t="s">
        <v>107</v>
      </c>
      <c r="B12" s="19"/>
      <c r="C12" s="19"/>
      <c r="D12" s="19">
        <f>COUNTA('Summary Product'!A2:A1000)</f>
        <v>5</v>
      </c>
    </row>
    <row r="15">
      <c r="A15" s="14" t="s">
        <v>108</v>
      </c>
    </row>
    <row r="16">
      <c r="A16" s="6" t="s">
        <v>95</v>
      </c>
      <c r="B16" s="6" t="s">
        <v>93</v>
      </c>
      <c r="C16" s="22" t="s">
        <v>42</v>
      </c>
    </row>
    <row r="17">
      <c r="A17" s="23">
        <v>46174.0</v>
      </c>
      <c r="B17" s="4">
        <v>11.0</v>
      </c>
      <c r="C17" s="24">
        <v>439000.0</v>
      </c>
    </row>
  </sheetData>
  <mergeCells count="1">
    <mergeCell ref="A1:F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6.13"/>
    <col customWidth="1" min="3" max="3" width="7.63"/>
  </cols>
  <sheetData>
    <row r="1">
      <c r="A1" s="25">
        <v>46205.49464295139</v>
      </c>
      <c r="B1" s="26" t="s">
        <v>109</v>
      </c>
      <c r="C1" s="26" t="s">
        <v>110</v>
      </c>
    </row>
    <row r="2">
      <c r="A2" s="2">
        <v>46205.494646817126</v>
      </c>
      <c r="B2" s="3" t="s">
        <v>109</v>
      </c>
      <c r="C2" s="3" t="s">
        <v>111</v>
      </c>
    </row>
    <row r="3">
      <c r="A3" s="2">
        <v>46205.49465607639</v>
      </c>
      <c r="B3" s="3" t="s">
        <v>109</v>
      </c>
      <c r="C3" s="3" t="s">
        <v>112</v>
      </c>
    </row>
    <row r="4">
      <c r="A4" s="2">
        <v>46205.49465868056</v>
      </c>
      <c r="B4" s="3" t="s">
        <v>109</v>
      </c>
      <c r="C4" s="3" t="s">
        <v>113</v>
      </c>
    </row>
    <row r="5">
      <c r="A5" s="2">
        <v>46205.49466104167</v>
      </c>
      <c r="B5" s="3" t="s">
        <v>109</v>
      </c>
      <c r="C5" s="3" t="s">
        <v>114</v>
      </c>
    </row>
    <row r="6">
      <c r="A6" s="2">
        <v>46205.49467021991</v>
      </c>
      <c r="B6" s="3" t="s">
        <v>109</v>
      </c>
      <c r="C6" s="3" t="s">
        <v>115</v>
      </c>
    </row>
    <row r="7">
      <c r="A7" s="2">
        <v>46205.49469032408</v>
      </c>
      <c r="B7" s="3" t="s">
        <v>109</v>
      </c>
      <c r="C7" s="3" t="s">
        <v>116</v>
      </c>
    </row>
    <row r="8">
      <c r="A8" s="2">
        <v>46205.494699849536</v>
      </c>
      <c r="B8" s="3" t="s">
        <v>117</v>
      </c>
      <c r="C8" s="3" t="s">
        <v>118</v>
      </c>
    </row>
    <row r="9">
      <c r="A9" s="2">
        <v>46205.4947049537</v>
      </c>
      <c r="B9" s="3" t="s">
        <v>109</v>
      </c>
      <c r="C9" s="3" t="s">
        <v>119</v>
      </c>
    </row>
    <row r="10">
      <c r="A10" s="2">
        <v>46205.51921491898</v>
      </c>
      <c r="B10" s="3" t="s">
        <v>109</v>
      </c>
      <c r="C10" s="3" t="s">
        <v>110</v>
      </c>
    </row>
    <row r="11">
      <c r="A11" s="2">
        <v>46205.51921921296</v>
      </c>
      <c r="B11" s="3" t="s">
        <v>109</v>
      </c>
      <c r="C11" s="3" t="s">
        <v>111</v>
      </c>
    </row>
    <row r="12">
      <c r="A12" s="2">
        <v>46205.51923543982</v>
      </c>
      <c r="B12" s="3" t="s">
        <v>109</v>
      </c>
      <c r="C12" s="3" t="s">
        <v>112</v>
      </c>
    </row>
    <row r="13">
      <c r="A13" s="2">
        <v>46205.51923856481</v>
      </c>
      <c r="B13" s="3" t="s">
        <v>109</v>
      </c>
      <c r="C13" s="3" t="s">
        <v>113</v>
      </c>
    </row>
    <row r="14">
      <c r="A14" s="2">
        <v>46205.51924173611</v>
      </c>
      <c r="B14" s="3" t="s">
        <v>109</v>
      </c>
      <c r="C14" s="3" t="s">
        <v>114</v>
      </c>
    </row>
    <row r="15">
      <c r="A15" s="2">
        <v>46205.519253900464</v>
      </c>
      <c r="B15" s="3" t="s">
        <v>109</v>
      </c>
      <c r="C15" s="3" t="s">
        <v>115</v>
      </c>
    </row>
    <row r="16">
      <c r="A16" s="2">
        <v>46205.519262222224</v>
      </c>
      <c r="B16" s="3" t="s">
        <v>109</v>
      </c>
      <c r="C16" s="3" t="s">
        <v>116</v>
      </c>
    </row>
    <row r="17">
      <c r="A17" s="2">
        <v>46205.51927152778</v>
      </c>
      <c r="B17" s="3" t="s">
        <v>117</v>
      </c>
      <c r="C17" s="3" t="s">
        <v>120</v>
      </c>
    </row>
    <row r="18">
      <c r="A18" s="2">
        <v>46205.519383692124</v>
      </c>
      <c r="B18" s="3" t="s">
        <v>109</v>
      </c>
      <c r="C18" s="3" t="s">
        <v>110</v>
      </c>
    </row>
    <row r="19">
      <c r="A19" s="2">
        <v>46205.519388252316</v>
      </c>
      <c r="B19" s="3" t="s">
        <v>109</v>
      </c>
      <c r="C19" s="3" t="s">
        <v>111</v>
      </c>
    </row>
    <row r="20">
      <c r="A20" s="2">
        <v>46205.519398310185</v>
      </c>
      <c r="B20" s="3" t="s">
        <v>109</v>
      </c>
      <c r="C20" s="3" t="s">
        <v>112</v>
      </c>
    </row>
    <row r="21">
      <c r="A21" s="2">
        <v>46205.51940173611</v>
      </c>
      <c r="B21" s="3" t="s">
        <v>109</v>
      </c>
      <c r="C21" s="3" t="s">
        <v>113</v>
      </c>
    </row>
    <row r="22">
      <c r="A22" s="2">
        <v>46205.519404942126</v>
      </c>
      <c r="B22" s="3" t="s">
        <v>109</v>
      </c>
      <c r="C22" s="3" t="s">
        <v>114</v>
      </c>
    </row>
    <row r="23">
      <c r="A23" s="2">
        <v>46205.519418807875</v>
      </c>
      <c r="B23" s="3" t="s">
        <v>109</v>
      </c>
      <c r="C23" s="3" t="s">
        <v>115</v>
      </c>
    </row>
    <row r="24">
      <c r="A24" s="2">
        <v>46205.51943068287</v>
      </c>
      <c r="B24" s="3" t="s">
        <v>109</v>
      </c>
      <c r="C24" s="3" t="s">
        <v>116</v>
      </c>
    </row>
    <row r="25">
      <c r="A25" s="2">
        <v>46205.51944805555</v>
      </c>
      <c r="B25" s="3" t="s">
        <v>117</v>
      </c>
      <c r="C25" s="3" t="s">
        <v>120</v>
      </c>
    </row>
    <row r="26">
      <c r="A26" s="2">
        <v>46205.52673240741</v>
      </c>
      <c r="B26" s="3" t="s">
        <v>109</v>
      </c>
      <c r="C26" s="3" t="s">
        <v>110</v>
      </c>
    </row>
    <row r="27">
      <c r="A27" s="2">
        <v>46205.52673648148</v>
      </c>
      <c r="B27" s="3" t="s">
        <v>109</v>
      </c>
      <c r="C27" s="3" t="s">
        <v>111</v>
      </c>
    </row>
    <row r="28">
      <c r="A28" s="2">
        <v>46205.52675634259</v>
      </c>
      <c r="B28" s="3" t="s">
        <v>109</v>
      </c>
      <c r="C28" s="3" t="s">
        <v>112</v>
      </c>
    </row>
    <row r="29">
      <c r="A29" s="2">
        <v>46205.52675957176</v>
      </c>
      <c r="B29" s="3" t="s">
        <v>109</v>
      </c>
      <c r="C29" s="3" t="s">
        <v>113</v>
      </c>
    </row>
    <row r="30">
      <c r="A30" s="2">
        <v>46205.52676266203</v>
      </c>
      <c r="B30" s="3" t="s">
        <v>109</v>
      </c>
      <c r="C30" s="3" t="s">
        <v>114</v>
      </c>
    </row>
    <row r="31">
      <c r="A31" s="2">
        <v>46205.52677591435</v>
      </c>
      <c r="B31" s="3" t="s">
        <v>109</v>
      </c>
      <c r="C31" s="3" t="s">
        <v>115</v>
      </c>
    </row>
    <row r="32">
      <c r="A32" s="2">
        <v>46205.5267906713</v>
      </c>
      <c r="B32" s="3" t="s">
        <v>109</v>
      </c>
      <c r="C32" s="3" t="s">
        <v>116</v>
      </c>
    </row>
    <row r="33">
      <c r="A33" s="2">
        <v>46205.52680707176</v>
      </c>
      <c r="B33" s="3" t="s">
        <v>121</v>
      </c>
      <c r="C33" s="3" t="s">
        <v>122</v>
      </c>
    </row>
    <row r="34">
      <c r="A34" s="2">
        <v>46205.52681115741</v>
      </c>
      <c r="B34" s="3" t="s">
        <v>109</v>
      </c>
      <c r="C34" s="3" t="s">
        <v>119</v>
      </c>
    </row>
    <row r="35">
      <c r="A35" s="2">
        <v>46205.57020460648</v>
      </c>
      <c r="B35" s="3" t="s">
        <v>109</v>
      </c>
      <c r="C35" s="3" t="s">
        <v>110</v>
      </c>
    </row>
    <row r="36">
      <c r="A36" s="2">
        <v>46205.57020819445</v>
      </c>
      <c r="B36" s="3" t="s">
        <v>109</v>
      </c>
      <c r="C36" s="3" t="s">
        <v>111</v>
      </c>
    </row>
    <row r="37">
      <c r="A37" s="2">
        <v>46205.57022671297</v>
      </c>
      <c r="B37" s="3" t="s">
        <v>109</v>
      </c>
      <c r="C37" s="3" t="s">
        <v>112</v>
      </c>
    </row>
    <row r="38">
      <c r="A38" s="2">
        <v>46205.57022930555</v>
      </c>
      <c r="B38" s="3" t="s">
        <v>109</v>
      </c>
      <c r="C38" s="3" t="s">
        <v>113</v>
      </c>
    </row>
    <row r="39">
      <c r="A39" s="2">
        <v>46205.5702317824</v>
      </c>
      <c r="B39" s="3" t="s">
        <v>109</v>
      </c>
      <c r="C39" s="3" t="s">
        <v>114</v>
      </c>
    </row>
    <row r="40">
      <c r="A40" s="2">
        <v>46205.57024436342</v>
      </c>
      <c r="B40" s="3" t="s">
        <v>109</v>
      </c>
      <c r="C40" s="3" t="s">
        <v>115</v>
      </c>
    </row>
    <row r="41">
      <c r="A41" s="2">
        <v>46205.57025604167</v>
      </c>
      <c r="B41" s="3" t="s">
        <v>109</v>
      </c>
      <c r="C41" s="3" t="s">
        <v>116</v>
      </c>
    </row>
    <row r="42">
      <c r="A42" s="2">
        <v>46205.57027923611</v>
      </c>
      <c r="B42" s="3" t="s">
        <v>109</v>
      </c>
      <c r="C42" s="3" t="s">
        <v>123</v>
      </c>
    </row>
    <row r="43">
      <c r="A43" s="2">
        <v>46205.57028166667</v>
      </c>
      <c r="B43" s="3" t="s">
        <v>109</v>
      </c>
      <c r="C43" s="3" t="s">
        <v>119</v>
      </c>
    </row>
    <row r="44">
      <c r="A44" s="2">
        <v>46205.59334039352</v>
      </c>
      <c r="B44" s="3" t="s">
        <v>109</v>
      </c>
      <c r="C44" s="3" t="s">
        <v>124</v>
      </c>
    </row>
    <row r="45">
      <c r="A45" s="2">
        <v>46205.593389375004</v>
      </c>
      <c r="B45" s="3" t="s">
        <v>109</v>
      </c>
      <c r="C45" s="3" t="s">
        <v>110</v>
      </c>
    </row>
    <row r="46">
      <c r="A46" s="2">
        <v>46205.59339285879</v>
      </c>
      <c r="B46" s="3" t="s">
        <v>109</v>
      </c>
      <c r="C46" s="3" t="s">
        <v>111</v>
      </c>
    </row>
    <row r="47">
      <c r="A47" s="2">
        <v>46205.593405625</v>
      </c>
      <c r="B47" s="3" t="s">
        <v>109</v>
      </c>
      <c r="C47" s="3" t="s">
        <v>112</v>
      </c>
    </row>
    <row r="48">
      <c r="A48" s="2">
        <v>46205.59340884259</v>
      </c>
      <c r="B48" s="3" t="s">
        <v>109</v>
      </c>
      <c r="C48" s="3" t="s">
        <v>113</v>
      </c>
    </row>
    <row r="49">
      <c r="A49" s="2">
        <v>46205.59341178241</v>
      </c>
      <c r="B49" s="3" t="s">
        <v>109</v>
      </c>
      <c r="C49" s="3" t="s">
        <v>114</v>
      </c>
    </row>
    <row r="50">
      <c r="A50" s="2">
        <v>46205.59342262732</v>
      </c>
      <c r="B50" s="3" t="s">
        <v>109</v>
      </c>
      <c r="C50" s="3" t="s">
        <v>115</v>
      </c>
    </row>
    <row r="51">
      <c r="A51" s="2">
        <v>46205.593435243056</v>
      </c>
      <c r="B51" s="3" t="s">
        <v>109</v>
      </c>
      <c r="C51" s="3" t="s">
        <v>116</v>
      </c>
    </row>
    <row r="52">
      <c r="A52" s="2">
        <v>46205.59345407407</v>
      </c>
      <c r="B52" s="3" t="s">
        <v>109</v>
      </c>
      <c r="C52" s="3" t="s">
        <v>123</v>
      </c>
    </row>
    <row r="53">
      <c r="A53" s="2">
        <v>46205.59345688658</v>
      </c>
      <c r="B53" s="3" t="s">
        <v>109</v>
      </c>
      <c r="C53" s="3" t="s">
        <v>119</v>
      </c>
    </row>
    <row r="54">
      <c r="A54" s="2">
        <v>46205.73442648148</v>
      </c>
      <c r="B54" s="3" t="s">
        <v>109</v>
      </c>
      <c r="C54" s="3" t="s">
        <v>110</v>
      </c>
    </row>
    <row r="55">
      <c r="A55" s="2">
        <v>46205.734428854164</v>
      </c>
      <c r="B55" s="3" t="s">
        <v>109</v>
      </c>
      <c r="C55" s="3" t="s">
        <v>111</v>
      </c>
    </row>
    <row r="56">
      <c r="A56" s="2">
        <v>46205.73444403935</v>
      </c>
      <c r="B56" s="3" t="s">
        <v>109</v>
      </c>
      <c r="C56" s="3" t="s">
        <v>112</v>
      </c>
    </row>
    <row r="57">
      <c r="A57" s="2">
        <v>46205.73444559028</v>
      </c>
      <c r="B57" s="3" t="s">
        <v>109</v>
      </c>
      <c r="C57" s="3" t="s">
        <v>113</v>
      </c>
    </row>
    <row r="58">
      <c r="A58" s="2">
        <v>46205.734449456024</v>
      </c>
      <c r="B58" s="3" t="s">
        <v>109</v>
      </c>
      <c r="C58" s="3" t="s">
        <v>114</v>
      </c>
    </row>
    <row r="59">
      <c r="A59" s="2">
        <v>46205.73445957176</v>
      </c>
      <c r="B59" s="3" t="s">
        <v>109</v>
      </c>
      <c r="C59" s="3" t="s">
        <v>115</v>
      </c>
    </row>
    <row r="60">
      <c r="A60" s="2">
        <v>46205.7344678588</v>
      </c>
      <c r="B60" s="3" t="s">
        <v>109</v>
      </c>
      <c r="C60" s="3" t="s">
        <v>116</v>
      </c>
    </row>
    <row r="61">
      <c r="A61" s="2">
        <v>46205.734483611115</v>
      </c>
      <c r="B61" s="3" t="s">
        <v>109</v>
      </c>
      <c r="C61" s="3" t="s">
        <v>123</v>
      </c>
    </row>
    <row r="62">
      <c r="A62" s="2">
        <v>46205.73448493055</v>
      </c>
      <c r="B62" s="3" t="s">
        <v>109</v>
      </c>
      <c r="C62" s="3" t="s">
        <v>119</v>
      </c>
    </row>
    <row r="63">
      <c r="A63" s="2">
        <v>46205.93828079861</v>
      </c>
      <c r="B63" s="3" t="s">
        <v>109</v>
      </c>
      <c r="C63" s="3" t="s">
        <v>110</v>
      </c>
    </row>
    <row r="64">
      <c r="A64" s="2">
        <v>46205.93828383102</v>
      </c>
      <c r="B64" s="3" t="s">
        <v>109</v>
      </c>
      <c r="C64" s="3" t="s">
        <v>111</v>
      </c>
    </row>
    <row r="65">
      <c r="A65" s="2">
        <v>46205.938296875</v>
      </c>
      <c r="B65" s="3" t="s">
        <v>109</v>
      </c>
      <c r="C65" s="3" t="s">
        <v>112</v>
      </c>
    </row>
    <row r="66">
      <c r="A66" s="2">
        <v>46205.93830068287</v>
      </c>
      <c r="B66" s="3" t="s">
        <v>109</v>
      </c>
      <c r="C66" s="3" t="s">
        <v>113</v>
      </c>
    </row>
    <row r="67">
      <c r="A67" s="2">
        <v>46205.93830252315</v>
      </c>
      <c r="B67" s="3" t="s">
        <v>109</v>
      </c>
      <c r="C67" s="3" t="s">
        <v>114</v>
      </c>
    </row>
    <row r="68">
      <c r="A68" s="2">
        <v>46205.93831113426</v>
      </c>
      <c r="B68" s="3" t="s">
        <v>109</v>
      </c>
      <c r="C68" s="3" t="s">
        <v>115</v>
      </c>
    </row>
    <row r="69">
      <c r="A69" s="2">
        <v>46205.93831814815</v>
      </c>
      <c r="B69" s="3" t="s">
        <v>109</v>
      </c>
      <c r="C69" s="3" t="s">
        <v>116</v>
      </c>
    </row>
    <row r="70">
      <c r="A70" s="2">
        <v>46205.93833635417</v>
      </c>
      <c r="B70" s="3" t="s">
        <v>109</v>
      </c>
      <c r="C70" s="3" t="s">
        <v>123</v>
      </c>
    </row>
    <row r="71">
      <c r="A71" s="2">
        <v>46205.938338125</v>
      </c>
      <c r="B71" s="3" t="s">
        <v>109</v>
      </c>
      <c r="C71" s="3" t="s">
        <v>119</v>
      </c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7"/>
      <c r="B321" s="28"/>
      <c r="C321" s="28"/>
    </row>
    <row r="322">
      <c r="A322" s="27"/>
      <c r="B322" s="28"/>
      <c r="C322" s="28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9"/>
      <c r="B332" s="30"/>
      <c r="C332" s="30"/>
      <c r="D332" s="31"/>
    </row>
    <row r="333">
      <c r="A333" s="29"/>
      <c r="B333" s="30"/>
      <c r="C333" s="30"/>
      <c r="D333" s="31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88"/>
  </cols>
  <sheetData>
    <row r="1">
      <c r="A1" s="3" t="s">
        <v>32</v>
      </c>
      <c r="B1" s="3" t="s">
        <v>33</v>
      </c>
      <c r="C1" s="3" t="s">
        <v>125</v>
      </c>
      <c r="D1" s="3" t="s">
        <v>35</v>
      </c>
      <c r="E1" s="3" t="s">
        <v>36</v>
      </c>
      <c r="F1" s="3" t="s">
        <v>126</v>
      </c>
      <c r="G1" s="3" t="s">
        <v>127</v>
      </c>
      <c r="H1" s="3" t="s">
        <v>39</v>
      </c>
      <c r="I1" s="3" t="s">
        <v>40</v>
      </c>
      <c r="J1" s="3" t="s">
        <v>41</v>
      </c>
      <c r="K1" s="3" t="s">
        <v>128</v>
      </c>
      <c r="L1" s="3" t="s">
        <v>43</v>
      </c>
      <c r="M1" s="3" t="s">
        <v>44</v>
      </c>
      <c r="N1" s="3" t="s">
        <v>45</v>
      </c>
      <c r="O1" s="3" t="s">
        <v>129</v>
      </c>
    </row>
    <row r="2">
      <c r="A2" s="2">
        <v>46198.29166666667</v>
      </c>
      <c r="B2" s="3" t="s">
        <v>130</v>
      </c>
      <c r="C2" s="3" t="s">
        <v>131</v>
      </c>
      <c r="D2" s="3" t="s">
        <v>48</v>
      </c>
      <c r="E2" s="3" t="s">
        <v>49</v>
      </c>
      <c r="F2" s="3" t="s">
        <v>132</v>
      </c>
      <c r="G2" s="2">
        <v>46198.29166666667</v>
      </c>
      <c r="H2" s="3" t="s">
        <v>133</v>
      </c>
      <c r="I2" s="3" t="s">
        <v>52</v>
      </c>
      <c r="J2" s="4">
        <v>300.0</v>
      </c>
      <c r="K2" s="4">
        <v>8000.0</v>
      </c>
      <c r="L2" s="4">
        <v>0.0</v>
      </c>
      <c r="M2" s="4">
        <v>0.0</v>
      </c>
      <c r="N2" s="4">
        <v>560.0</v>
      </c>
      <c r="O2" s="4">
        <v>8560.0</v>
      </c>
    </row>
    <row r="3">
      <c r="A3" s="2">
        <v>46198.29166666667</v>
      </c>
      <c r="B3" s="3" t="s">
        <v>130</v>
      </c>
      <c r="C3" s="3" t="s">
        <v>134</v>
      </c>
      <c r="D3" s="3" t="s">
        <v>48</v>
      </c>
      <c r="E3" s="3" t="s">
        <v>49</v>
      </c>
      <c r="F3" s="3" t="s">
        <v>135</v>
      </c>
      <c r="G3" s="2">
        <v>46198.29166666667</v>
      </c>
      <c r="H3" s="3" t="s">
        <v>136</v>
      </c>
      <c r="I3" s="3" t="s">
        <v>65</v>
      </c>
      <c r="J3" s="4">
        <v>100.0</v>
      </c>
      <c r="K3" s="4">
        <v>15000.0</v>
      </c>
      <c r="L3" s="4">
        <v>0.0</v>
      </c>
      <c r="M3" s="4">
        <v>500.0</v>
      </c>
      <c r="N3" s="4">
        <v>1085.0</v>
      </c>
      <c r="O3" s="4">
        <v>16585.0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88"/>
  </cols>
  <sheetData>
    <row r="1">
      <c r="A1" s="3" t="s">
        <v>32</v>
      </c>
      <c r="B1" s="3" t="s">
        <v>33</v>
      </c>
      <c r="C1" s="3" t="s">
        <v>125</v>
      </c>
      <c r="D1" s="3" t="s">
        <v>35</v>
      </c>
      <c r="E1" s="3" t="s">
        <v>36</v>
      </c>
      <c r="F1" s="3" t="s">
        <v>126</v>
      </c>
      <c r="G1" s="3" t="s">
        <v>127</v>
      </c>
      <c r="H1" s="3" t="s">
        <v>39</v>
      </c>
      <c r="I1" s="3" t="s">
        <v>40</v>
      </c>
      <c r="J1" s="3" t="s">
        <v>41</v>
      </c>
      <c r="K1" s="3" t="s">
        <v>128</v>
      </c>
      <c r="L1" s="3" t="s">
        <v>43</v>
      </c>
      <c r="M1" s="3" t="s">
        <v>44</v>
      </c>
      <c r="N1" s="3" t="s">
        <v>45</v>
      </c>
      <c r="O1" s="3" t="s">
        <v>129</v>
      </c>
    </row>
    <row r="2">
      <c r="A2" s="2"/>
      <c r="G2" s="2"/>
    </row>
    <row r="3">
      <c r="A3" s="2"/>
      <c r="G3" s="2"/>
    </row>
    <row r="4">
      <c r="A4" s="2"/>
      <c r="G4" s="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300.0</v>
      </c>
      <c r="K2" s="4">
        <v>50000.0</v>
      </c>
      <c r="L2" s="4">
        <v>1000.0</v>
      </c>
      <c r="M2" s="4">
        <v>1000.0</v>
      </c>
      <c r="N2" s="4">
        <v>3500.0</v>
      </c>
      <c r="O2" s="4">
        <v>53500.0</v>
      </c>
    </row>
    <row r="3">
      <c r="A3" s="2">
        <v>46198.29166666667</v>
      </c>
      <c r="B3" s="3" t="s">
        <v>16</v>
      </c>
      <c r="C3" s="3" t="s">
        <v>137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138</v>
      </c>
      <c r="J3" s="4">
        <v>500.0</v>
      </c>
      <c r="K3" s="4">
        <v>40000.0</v>
      </c>
      <c r="L3" s="4">
        <v>1000.0</v>
      </c>
      <c r="M3" s="4">
        <v>0.0</v>
      </c>
      <c r="N3" s="4">
        <v>2730.0</v>
      </c>
      <c r="O3" s="4">
        <v>41730.0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300.0</v>
      </c>
      <c r="K2" s="4">
        <v>50000.0</v>
      </c>
      <c r="L2" s="4">
        <v>1000.0</v>
      </c>
      <c r="M2" s="4">
        <v>1000.0</v>
      </c>
      <c r="N2" s="4">
        <v>3500.0</v>
      </c>
      <c r="O2" s="4">
        <v>53500.0</v>
      </c>
    </row>
    <row r="3">
      <c r="A3" s="2">
        <v>46198.29166666667</v>
      </c>
      <c r="B3" s="3" t="s">
        <v>16</v>
      </c>
      <c r="C3" s="3" t="s">
        <v>137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138</v>
      </c>
      <c r="J3" s="4">
        <v>500.0</v>
      </c>
      <c r="K3" s="4">
        <v>40000.0</v>
      </c>
      <c r="L3" s="4">
        <v>1000.0</v>
      </c>
      <c r="M3" s="4">
        <v>0.0</v>
      </c>
      <c r="N3" s="4">
        <v>2730.0</v>
      </c>
      <c r="O3" s="4">
        <v>41730.0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46198.29166666667</v>
      </c>
      <c r="B2" s="3" t="s">
        <v>11</v>
      </c>
      <c r="C2" s="3" t="s">
        <v>139</v>
      </c>
      <c r="D2" s="3" t="s">
        <v>48</v>
      </c>
      <c r="E2" s="3" t="s">
        <v>49</v>
      </c>
      <c r="F2" s="3" t="s">
        <v>50</v>
      </c>
      <c r="G2" s="2">
        <v>46198.29166666667</v>
      </c>
      <c r="H2" s="3" t="s">
        <v>51</v>
      </c>
      <c r="I2" s="3" t="s">
        <v>52</v>
      </c>
      <c r="J2" s="4">
        <v>500.0</v>
      </c>
      <c r="K2" s="4">
        <v>50000.0</v>
      </c>
      <c r="L2" s="4">
        <v>1000.0</v>
      </c>
      <c r="M2" s="4">
        <v>500.0</v>
      </c>
      <c r="N2" s="4">
        <v>3465.0</v>
      </c>
      <c r="O2" s="4">
        <v>52965.0</v>
      </c>
    </row>
    <row r="3">
      <c r="A3" s="2">
        <v>46198.29166666667</v>
      </c>
      <c r="B3" s="3" t="s">
        <v>16</v>
      </c>
      <c r="C3" s="3" t="s">
        <v>140</v>
      </c>
      <c r="D3" s="3" t="s">
        <v>48</v>
      </c>
      <c r="E3" s="3" t="s">
        <v>53</v>
      </c>
      <c r="F3" s="3" t="s">
        <v>54</v>
      </c>
      <c r="G3" s="2">
        <v>46198.29166666667</v>
      </c>
      <c r="H3" s="3" t="s">
        <v>55</v>
      </c>
      <c r="I3" s="3" t="s">
        <v>56</v>
      </c>
      <c r="J3" s="4">
        <v>500.0</v>
      </c>
      <c r="K3" s="4">
        <v>80000.0</v>
      </c>
      <c r="L3" s="4">
        <v>0.0</v>
      </c>
      <c r="M3" s="4">
        <v>500.0</v>
      </c>
      <c r="N3" s="4">
        <v>5635.0</v>
      </c>
      <c r="O3" s="4">
        <v>86135.0</v>
      </c>
    </row>
    <row r="4">
      <c r="A4" s="2">
        <v>46198.29166666667</v>
      </c>
      <c r="B4" s="3" t="s">
        <v>11</v>
      </c>
      <c r="C4" s="3" t="s">
        <v>139</v>
      </c>
      <c r="D4" s="3" t="s">
        <v>71</v>
      </c>
      <c r="E4" s="3" t="s">
        <v>141</v>
      </c>
      <c r="F4" s="3" t="s">
        <v>58</v>
      </c>
      <c r="G4" s="2">
        <v>46198.29166666667</v>
      </c>
      <c r="H4" s="3" t="s">
        <v>59</v>
      </c>
      <c r="I4" s="3" t="s">
        <v>65</v>
      </c>
      <c r="J4" s="4">
        <v>100.0</v>
      </c>
      <c r="K4" s="4">
        <v>5000.0</v>
      </c>
      <c r="L4" s="4">
        <v>500.0</v>
      </c>
      <c r="M4" s="4">
        <v>100.0</v>
      </c>
      <c r="N4" s="4">
        <v>322.0</v>
      </c>
      <c r="O4" s="4">
        <v>4922.0</v>
      </c>
    </row>
    <row r="5">
      <c r="A5" s="2">
        <v>46198.29166666667</v>
      </c>
      <c r="B5" s="3" t="s">
        <v>20</v>
      </c>
      <c r="C5" s="3" t="s">
        <v>142</v>
      </c>
      <c r="D5" s="3" t="s">
        <v>71</v>
      </c>
      <c r="E5" s="3" t="s">
        <v>74</v>
      </c>
      <c r="F5" s="3" t="s">
        <v>63</v>
      </c>
      <c r="G5" s="2">
        <v>46198.29166666667</v>
      </c>
      <c r="H5" s="3" t="s">
        <v>64</v>
      </c>
      <c r="I5" s="3" t="s">
        <v>143</v>
      </c>
      <c r="J5" s="4">
        <v>5000.0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46198.29166666667</v>
      </c>
      <c r="B6" s="3" t="s">
        <v>24</v>
      </c>
      <c r="C6" s="3" t="s">
        <v>144</v>
      </c>
      <c r="D6" s="3" t="s">
        <v>145</v>
      </c>
      <c r="E6" s="3" t="s">
        <v>146</v>
      </c>
      <c r="F6" s="3" t="s">
        <v>68</v>
      </c>
      <c r="G6" s="2">
        <v>46198.29166666667</v>
      </c>
      <c r="H6" s="3" t="s">
        <v>55</v>
      </c>
      <c r="I6" s="3" t="s">
        <v>56</v>
      </c>
      <c r="J6" s="4">
        <v>500.0</v>
      </c>
      <c r="K6" s="4">
        <v>10000.0</v>
      </c>
      <c r="L6" s="4">
        <v>0.0</v>
      </c>
      <c r="M6" s="4">
        <v>500.0</v>
      </c>
      <c r="N6" s="4">
        <v>735.0</v>
      </c>
      <c r="O6" s="4">
        <v>11235.0</v>
      </c>
    </row>
    <row r="7">
      <c r="A7" s="2">
        <v>46198.29166666667</v>
      </c>
      <c r="B7" s="3" t="s">
        <v>28</v>
      </c>
      <c r="C7" s="3" t="s">
        <v>147</v>
      </c>
      <c r="D7" s="3" t="s">
        <v>66</v>
      </c>
      <c r="E7" s="3" t="s">
        <v>67</v>
      </c>
      <c r="F7" s="3" t="s">
        <v>68</v>
      </c>
      <c r="G7" s="2">
        <v>46198.29166666667</v>
      </c>
      <c r="H7" s="3" t="s">
        <v>59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46198.29166666667</v>
      </c>
      <c r="B8" s="3" t="s">
        <v>11</v>
      </c>
      <c r="C8" s="3" t="s">
        <v>139</v>
      </c>
      <c r="D8" s="3" t="s">
        <v>66</v>
      </c>
      <c r="E8" s="3" t="s">
        <v>67</v>
      </c>
      <c r="F8" s="3" t="s">
        <v>73</v>
      </c>
      <c r="G8" s="2">
        <v>46198.29166666667</v>
      </c>
      <c r="H8" s="3" t="s">
        <v>64</v>
      </c>
      <c r="I8" s="3" t="s">
        <v>70</v>
      </c>
      <c r="J8" s="4">
        <v>1000.0</v>
      </c>
      <c r="K8" s="4">
        <v>3000.0</v>
      </c>
      <c r="L8" s="4">
        <v>100.0</v>
      </c>
      <c r="M8" s="4">
        <v>100.0</v>
      </c>
      <c r="N8" s="4">
        <v>210.0</v>
      </c>
      <c r="O8" s="4">
        <v>3210.0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/>
      <c r="G2" s="2"/>
    </row>
    <row r="3">
      <c r="A3" s="2"/>
      <c r="G3" s="2"/>
    </row>
    <row r="4">
      <c r="A4" s="2"/>
      <c r="G4" s="2"/>
    </row>
    <row r="5">
      <c r="A5" s="2"/>
      <c r="G5" s="2"/>
    </row>
    <row r="6">
      <c r="A6" s="2"/>
      <c r="G6" s="2"/>
    </row>
    <row r="7">
      <c r="A7" s="2"/>
      <c r="G7" s="2"/>
    </row>
    <row r="8">
      <c r="A8" s="2"/>
      <c r="G8" s="2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/>
      <c r="G2" s="2"/>
    </row>
    <row r="3">
      <c r="A3" s="2"/>
      <c r="G3" s="2"/>
    </row>
    <row r="4">
      <c r="A4" s="2"/>
      <c r="G4" s="2"/>
    </row>
    <row r="5">
      <c r="A5" s="2"/>
      <c r="G5" s="2"/>
    </row>
    <row r="6">
      <c r="A6" s="2"/>
      <c r="G6" s="2"/>
    </row>
    <row r="7">
      <c r="A7" s="2"/>
      <c r="G7" s="2"/>
    </row>
    <row r="8">
      <c r="A8" s="2"/>
      <c r="G8" s="2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/>
      <c r="G4" s="2"/>
    </row>
    <row r="5">
      <c r="A5" s="2"/>
      <c r="G5" s="2"/>
    </row>
    <row r="6">
      <c r="A6" s="2"/>
      <c r="G6" s="2"/>
    </row>
    <row r="7">
      <c r="A7" s="2"/>
      <c r="G7" s="2"/>
    </row>
    <row r="8">
      <c r="A8" s="2"/>
      <c r="G8" s="2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  <row r="12">
      <c r="A12" s="2">
        <v>46199.29166666667</v>
      </c>
      <c r="B12" s="3" t="s">
        <v>11</v>
      </c>
      <c r="C12" s="3" t="s">
        <v>12</v>
      </c>
      <c r="D12" s="3" t="s">
        <v>71</v>
      </c>
      <c r="E12" s="3" t="s">
        <v>72</v>
      </c>
      <c r="F12" s="3" t="s">
        <v>80</v>
      </c>
      <c r="G12" s="2">
        <v>46199.29166666667</v>
      </c>
      <c r="H12" s="3" t="s">
        <v>51</v>
      </c>
      <c r="I12" s="3" t="s">
        <v>52</v>
      </c>
      <c r="J12" s="4">
        <v>600.0</v>
      </c>
      <c r="K12" s="4">
        <v>30000.0</v>
      </c>
      <c r="L12" s="4">
        <v>0.0</v>
      </c>
      <c r="M12" s="4">
        <v>0.0</v>
      </c>
      <c r="N12" s="4">
        <v>2100.0</v>
      </c>
      <c r="O12" s="4">
        <v>32100.0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  <row r="12">
      <c r="A12" s="2">
        <v>46199.29166666667</v>
      </c>
      <c r="B12" s="3" t="s">
        <v>11</v>
      </c>
      <c r="C12" s="3" t="s">
        <v>12</v>
      </c>
      <c r="D12" s="3" t="s">
        <v>71</v>
      </c>
      <c r="E12" s="3" t="s">
        <v>72</v>
      </c>
      <c r="F12" s="3" t="s">
        <v>80</v>
      </c>
      <c r="G12" s="2">
        <v>46199.29166666667</v>
      </c>
      <c r="H12" s="3" t="s">
        <v>51</v>
      </c>
      <c r="I12" s="3" t="s">
        <v>52</v>
      </c>
      <c r="J12" s="4">
        <v>600.0</v>
      </c>
      <c r="K12" s="4">
        <v>30000.0</v>
      </c>
      <c r="L12" s="4">
        <v>0.0</v>
      </c>
      <c r="M12" s="4">
        <v>0.0</v>
      </c>
      <c r="N12" s="4">
        <v>2100.0</v>
      </c>
      <c r="O12" s="4">
        <v>32100.0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  <row r="12">
      <c r="A12" s="2">
        <v>46199.29166666667</v>
      </c>
      <c r="B12" s="3" t="s">
        <v>11</v>
      </c>
      <c r="C12" s="3" t="s">
        <v>12</v>
      </c>
      <c r="D12" s="3" t="s">
        <v>71</v>
      </c>
      <c r="E12" s="3" t="s">
        <v>72</v>
      </c>
      <c r="F12" s="3" t="s">
        <v>80</v>
      </c>
      <c r="G12" s="2">
        <v>46199.29166666667</v>
      </c>
      <c r="H12" s="3" t="s">
        <v>51</v>
      </c>
      <c r="I12" s="3" t="s">
        <v>52</v>
      </c>
      <c r="J12" s="4">
        <v>600.0</v>
      </c>
      <c r="K12" s="4">
        <v>30000.0</v>
      </c>
      <c r="L12" s="4">
        <v>0.0</v>
      </c>
      <c r="M12" s="4">
        <v>0.0</v>
      </c>
      <c r="N12" s="4">
        <v>2100.0</v>
      </c>
      <c r="O12" s="4">
        <v>32100.0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  <row r="12">
      <c r="A12" s="2">
        <v>46199.29166666667</v>
      </c>
      <c r="B12" s="3" t="s">
        <v>11</v>
      </c>
      <c r="C12" s="3" t="s">
        <v>12</v>
      </c>
      <c r="D12" s="3" t="s">
        <v>71</v>
      </c>
      <c r="E12" s="3" t="s">
        <v>72</v>
      </c>
      <c r="F12" s="3" t="s">
        <v>80</v>
      </c>
      <c r="G12" s="2">
        <v>46199.29166666667</v>
      </c>
      <c r="H12" s="3" t="s">
        <v>51</v>
      </c>
      <c r="I12" s="3" t="s">
        <v>52</v>
      </c>
      <c r="J12" s="4">
        <v>600.0</v>
      </c>
      <c r="K12" s="4">
        <v>30000.0</v>
      </c>
      <c r="L12" s="4">
        <v>0.0</v>
      </c>
      <c r="M12" s="4">
        <v>0.0</v>
      </c>
      <c r="N12" s="4">
        <v>2100.0</v>
      </c>
      <c r="O12" s="4">
        <v>32100.0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</row>
    <row r="2">
      <c r="A2" s="2">
        <v>46199.29166666667</v>
      </c>
      <c r="B2" s="3" t="s">
        <v>11</v>
      </c>
      <c r="C2" s="3" t="s">
        <v>12</v>
      </c>
      <c r="D2" s="3" t="s">
        <v>48</v>
      </c>
      <c r="E2" s="3" t="s">
        <v>49</v>
      </c>
      <c r="F2" s="3" t="s">
        <v>50</v>
      </c>
      <c r="G2" s="2">
        <v>46199.29166666667</v>
      </c>
      <c r="H2" s="3" t="s">
        <v>51</v>
      </c>
      <c r="I2" s="3" t="s">
        <v>52</v>
      </c>
      <c r="J2" s="4">
        <v>500.0</v>
      </c>
      <c r="K2" s="4">
        <v>40000.0</v>
      </c>
      <c r="L2" s="4">
        <v>1000.0</v>
      </c>
      <c r="M2" s="4">
        <v>500.0</v>
      </c>
      <c r="N2" s="4">
        <v>2765.0</v>
      </c>
      <c r="O2" s="4">
        <v>42265.0</v>
      </c>
    </row>
    <row r="3">
      <c r="A3" s="2">
        <v>46199.29166666667</v>
      </c>
      <c r="B3" s="3" t="s">
        <v>11</v>
      </c>
      <c r="C3" s="3" t="s">
        <v>12</v>
      </c>
      <c r="D3" s="3" t="s">
        <v>48</v>
      </c>
      <c r="E3" s="3" t="s">
        <v>53</v>
      </c>
      <c r="F3" s="3" t="s">
        <v>54</v>
      </c>
      <c r="G3" s="2">
        <v>46199.29166666667</v>
      </c>
      <c r="H3" s="3" t="s">
        <v>55</v>
      </c>
      <c r="I3" s="3" t="s">
        <v>56</v>
      </c>
      <c r="J3" s="4">
        <v>500.0</v>
      </c>
      <c r="K3" s="4">
        <v>60000.0</v>
      </c>
      <c r="L3" s="4">
        <v>0.0</v>
      </c>
      <c r="M3" s="4">
        <v>500.0</v>
      </c>
      <c r="N3" s="4">
        <v>4235.0</v>
      </c>
      <c r="O3" s="4">
        <v>64735.0</v>
      </c>
    </row>
    <row r="4">
      <c r="A4" s="2">
        <v>46199.29166666667</v>
      </c>
      <c r="B4" s="3" t="s">
        <v>11</v>
      </c>
      <c r="C4" s="3" t="s">
        <v>12</v>
      </c>
      <c r="D4" s="3" t="s">
        <v>48</v>
      </c>
      <c r="E4" s="3" t="s">
        <v>57</v>
      </c>
      <c r="F4" s="3" t="s">
        <v>58</v>
      </c>
      <c r="G4" s="2">
        <v>46199.29166666667</v>
      </c>
      <c r="H4" s="3" t="s">
        <v>59</v>
      </c>
      <c r="I4" s="3" t="s">
        <v>60</v>
      </c>
      <c r="J4" s="4">
        <v>1000.0</v>
      </c>
      <c r="K4" s="4">
        <v>15000.0</v>
      </c>
      <c r="L4" s="4">
        <v>0.0</v>
      </c>
      <c r="M4" s="4">
        <v>500.0</v>
      </c>
      <c r="N4" s="4">
        <v>1085.0</v>
      </c>
      <c r="O4" s="4">
        <v>16585.0</v>
      </c>
    </row>
    <row r="5">
      <c r="A5" s="2">
        <v>46199.29166666667</v>
      </c>
      <c r="B5" s="3" t="s">
        <v>16</v>
      </c>
      <c r="C5" s="3" t="s">
        <v>17</v>
      </c>
      <c r="D5" s="3" t="s">
        <v>61</v>
      </c>
      <c r="E5" s="3" t="s">
        <v>62</v>
      </c>
      <c r="F5" s="3" t="s">
        <v>63</v>
      </c>
      <c r="G5" s="2">
        <v>46199.29166666667</v>
      </c>
      <c r="H5" s="3" t="s">
        <v>64</v>
      </c>
      <c r="I5" s="3" t="s">
        <v>65</v>
      </c>
      <c r="J5" s="4">
        <v>100.0</v>
      </c>
      <c r="K5" s="4">
        <v>15000.0</v>
      </c>
      <c r="L5" s="4">
        <v>0.0</v>
      </c>
      <c r="M5" s="4">
        <v>0.0</v>
      </c>
      <c r="N5" s="4">
        <v>1050.0</v>
      </c>
      <c r="O5" s="4">
        <v>16050.0</v>
      </c>
    </row>
    <row r="6">
      <c r="A6" s="2">
        <v>46199.29166666667</v>
      </c>
      <c r="B6" s="3" t="s">
        <v>20</v>
      </c>
      <c r="C6" s="3" t="s">
        <v>21</v>
      </c>
      <c r="D6" s="3" t="s">
        <v>66</v>
      </c>
      <c r="E6" s="3" t="s">
        <v>67</v>
      </c>
      <c r="F6" s="3" t="s">
        <v>68</v>
      </c>
      <c r="G6" s="2">
        <v>46199.29166666667</v>
      </c>
      <c r="H6" s="3" t="s">
        <v>69</v>
      </c>
      <c r="I6" s="3" t="s">
        <v>70</v>
      </c>
      <c r="J6" s="4">
        <v>50000.0</v>
      </c>
      <c r="K6" s="4">
        <v>150000.0</v>
      </c>
      <c r="L6" s="4">
        <v>0.0</v>
      </c>
      <c r="M6" s="4">
        <v>500.0</v>
      </c>
      <c r="N6" s="4">
        <v>10535.0</v>
      </c>
      <c r="O6" s="4">
        <v>161035.0</v>
      </c>
    </row>
    <row r="7">
      <c r="A7" s="2">
        <v>46199.29166666667</v>
      </c>
      <c r="B7" s="3" t="s">
        <v>24</v>
      </c>
      <c r="C7" s="3" t="s">
        <v>25</v>
      </c>
      <c r="D7" s="3" t="s">
        <v>71</v>
      </c>
      <c r="E7" s="3" t="s">
        <v>72</v>
      </c>
      <c r="F7" s="3" t="s">
        <v>73</v>
      </c>
      <c r="G7" s="2">
        <v>46199.29166666667</v>
      </c>
      <c r="H7" s="3" t="s">
        <v>64</v>
      </c>
      <c r="I7" s="3" t="s">
        <v>65</v>
      </c>
      <c r="J7" s="4">
        <v>100.0</v>
      </c>
      <c r="K7" s="4">
        <v>8000.0</v>
      </c>
      <c r="L7" s="4">
        <v>0.0</v>
      </c>
      <c r="M7" s="4">
        <v>0.0</v>
      </c>
      <c r="N7" s="4">
        <v>560.0</v>
      </c>
      <c r="O7" s="4">
        <v>8560.0</v>
      </c>
    </row>
    <row r="8">
      <c r="A8" s="2">
        <v>46199.29166666667</v>
      </c>
      <c r="B8" s="3" t="s">
        <v>20</v>
      </c>
      <c r="C8" s="3" t="s">
        <v>21</v>
      </c>
      <c r="D8" s="3" t="s">
        <v>71</v>
      </c>
      <c r="E8" s="3" t="s">
        <v>74</v>
      </c>
      <c r="F8" s="3" t="s">
        <v>75</v>
      </c>
      <c r="G8" s="2">
        <v>46199.29166666667</v>
      </c>
      <c r="H8" s="3" t="s">
        <v>51</v>
      </c>
      <c r="I8" s="3" t="s">
        <v>52</v>
      </c>
      <c r="J8" s="4">
        <v>500.0</v>
      </c>
      <c r="K8" s="4">
        <v>15000.0</v>
      </c>
      <c r="L8" s="4">
        <v>0.0</v>
      </c>
      <c r="M8" s="4">
        <v>0.0</v>
      </c>
      <c r="N8" s="4">
        <v>1050.0</v>
      </c>
      <c r="O8" s="4">
        <v>16050.0</v>
      </c>
    </row>
    <row r="9">
      <c r="A9" s="2">
        <v>46199.29166666667</v>
      </c>
      <c r="B9" s="3" t="s">
        <v>16</v>
      </c>
      <c r="C9" s="3" t="s">
        <v>17</v>
      </c>
      <c r="D9" s="3" t="s">
        <v>61</v>
      </c>
      <c r="E9" s="3" t="s">
        <v>76</v>
      </c>
      <c r="F9" s="3" t="s">
        <v>77</v>
      </c>
      <c r="G9" s="2">
        <v>46199.29166666667</v>
      </c>
      <c r="H9" s="3" t="s">
        <v>55</v>
      </c>
      <c r="I9" s="3" t="s">
        <v>56</v>
      </c>
      <c r="J9" s="4">
        <v>200.0</v>
      </c>
      <c r="K9" s="4">
        <v>8000.0</v>
      </c>
      <c r="L9" s="4">
        <v>200.0</v>
      </c>
      <c r="M9" s="4">
        <v>100.0</v>
      </c>
      <c r="N9" s="4">
        <v>553.0</v>
      </c>
      <c r="O9" s="4">
        <v>8453.0</v>
      </c>
    </row>
    <row r="10">
      <c r="A10" s="2">
        <v>46199.29166666667</v>
      </c>
      <c r="B10" s="3" t="s">
        <v>28</v>
      </c>
      <c r="C10" s="3" t="s">
        <v>29</v>
      </c>
      <c r="D10" s="3" t="s">
        <v>48</v>
      </c>
      <c r="E10" s="3" t="s">
        <v>53</v>
      </c>
      <c r="F10" s="3" t="s">
        <v>78</v>
      </c>
      <c r="G10" s="2">
        <v>46199.29166666667</v>
      </c>
      <c r="H10" s="3" t="s">
        <v>69</v>
      </c>
      <c r="I10" s="3" t="s">
        <v>70</v>
      </c>
      <c r="J10" s="4">
        <v>500.0</v>
      </c>
      <c r="K10" s="4">
        <v>8000.0</v>
      </c>
      <c r="L10" s="4">
        <v>0.0</v>
      </c>
      <c r="M10" s="4">
        <v>150.0</v>
      </c>
      <c r="N10" s="4">
        <v>570.5</v>
      </c>
      <c r="O10" s="4">
        <v>8720.5</v>
      </c>
    </row>
    <row r="11">
      <c r="A11" s="2">
        <v>46199.29166666667</v>
      </c>
      <c r="B11" s="3" t="s">
        <v>20</v>
      </c>
      <c r="C11" s="3" t="s">
        <v>21</v>
      </c>
      <c r="D11" s="3" t="s">
        <v>61</v>
      </c>
      <c r="E11" s="3" t="s">
        <v>62</v>
      </c>
      <c r="F11" s="3" t="s">
        <v>79</v>
      </c>
      <c r="G11" s="2">
        <v>46199.29166666667</v>
      </c>
      <c r="H11" s="3" t="s">
        <v>51</v>
      </c>
      <c r="I11" s="3" t="s">
        <v>52</v>
      </c>
      <c r="J11" s="4">
        <v>800.0</v>
      </c>
      <c r="K11" s="4">
        <v>90000.0</v>
      </c>
      <c r="L11" s="4">
        <v>0.0</v>
      </c>
      <c r="M11" s="4">
        <v>500.0</v>
      </c>
      <c r="N11" s="4">
        <v>6335.0</v>
      </c>
      <c r="O11" s="4">
        <v>96835.0</v>
      </c>
    </row>
    <row r="12">
      <c r="A12" s="2">
        <v>46199.29166666667</v>
      </c>
      <c r="B12" s="3" t="s">
        <v>11</v>
      </c>
      <c r="C12" s="3" t="s">
        <v>12</v>
      </c>
      <c r="D12" s="3" t="s">
        <v>71</v>
      </c>
      <c r="E12" s="3" t="s">
        <v>72</v>
      </c>
      <c r="F12" s="3" t="s">
        <v>80</v>
      </c>
      <c r="G12" s="2">
        <v>46199.29166666667</v>
      </c>
      <c r="H12" s="3" t="s">
        <v>51</v>
      </c>
      <c r="I12" s="3" t="s">
        <v>52</v>
      </c>
      <c r="J12" s="4">
        <v>600.0</v>
      </c>
      <c r="K12" s="4">
        <v>30000.0</v>
      </c>
      <c r="L12" s="4">
        <v>0.0</v>
      </c>
      <c r="M12" s="4">
        <v>0.0</v>
      </c>
      <c r="N12" s="4">
        <v>2100.0</v>
      </c>
      <c r="O12" s="4">
        <v>32100.0</v>
      </c>
    </row>
  </sheetData>
  <drawing r:id="rId1"/>
</worksheet>
</file>